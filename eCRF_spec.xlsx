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0"/>
  <workbookPr defaultThemeVersion="166925"/>
  <xr:revisionPtr revIDLastSave="0" documentId="8_{F9096101-812A-4D81-9751-9F324E080C0D}" xr6:coauthVersionLast="47" xr6:coauthVersionMax="47" xr10:uidLastSave="{00000000-0000-0000-0000-000000000000}"/>
  <bookViews>
    <workbookView xWindow="240" yWindow="105" windowWidth="14805" windowHeight="8010" xr2:uid="{00000000-000D-0000-FFFF-FFFF00000000}"/>
  </bookViews>
  <sheets>
    <sheet name="Study Overview" sheetId="1" r:id="rId1"/>
    <sheet name="Forms" sheetId="2" r:id="rId2"/>
    <sheet name="Fields Specification" sheetId="3" r:id="rId3"/>
    <sheet name="Edit Checks" sheetId="4" r:id="rId4"/>
    <sheet name="Validation Log"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 i="5" l="1"/>
  <c r="F3" i="5"/>
  <c r="F4" i="5"/>
  <c r="F5" i="5"/>
  <c r="F6" i="5"/>
  <c r="F7" i="5"/>
  <c r="F8" i="5"/>
  <c r="F9" i="5"/>
  <c r="F10" i="5"/>
  <c r="F11" i="5"/>
  <c r="F12" i="5"/>
</calcChain>
</file>

<file path=xl/sharedStrings.xml><?xml version="1.0" encoding="utf-8"?>
<sst xmlns="http://schemas.openxmlformats.org/spreadsheetml/2006/main" count="272" uniqueCount="163">
  <si>
    <t>Item</t>
  </si>
  <si>
    <t>Entry</t>
  </si>
  <si>
    <t>Project Title</t>
  </si>
  <si>
    <t>Hypertension Treatment eCRF</t>
  </si>
  <si>
    <t>Data Name</t>
  </si>
  <si>
    <t>Hypertension Treatment Clinical Trial Dataset</t>
  </si>
  <si>
    <t>Link</t>
  </si>
  <si>
    <t>https://www.kaggle.com/datasets/isabelladil/phase-iii-clinical-trial-dataset/data</t>
  </si>
  <si>
    <t>Licence</t>
  </si>
  <si>
    <t>Attribution 4.0 International (CC BY 4.0)</t>
  </si>
  <si>
    <t>Purpose</t>
  </si>
  <si>
    <t>Practice eCRF specification and edit checks, built on a public synthetic dataset that models a trial comparing CardioX, an active comparator and placebo for hypertension.</t>
  </si>
  <si>
    <t>Participants</t>
  </si>
  <si>
    <t>Data Notes</t>
  </si>
  <si>
    <t>Synthetic public dataset. Errors added to a copy for testing</t>
  </si>
  <si>
    <t>Form ID</t>
  </si>
  <si>
    <t>Form Name</t>
  </si>
  <si>
    <t>Fields from Dataset</t>
  </si>
  <si>
    <t>Repeating?</t>
  </si>
  <si>
    <t>DM</t>
  </si>
  <si>
    <t>Demographics and enrolment</t>
  </si>
  <si>
    <t>Patient_ID, Site_ID, Age, Gender, Enrollment_Date</t>
  </si>
  <si>
    <t>N</t>
  </si>
  <si>
    <t>RAND</t>
  </si>
  <si>
    <t>Treatment assignment</t>
  </si>
  <si>
    <t>Treatment_Group</t>
  </si>
  <si>
    <t>VS</t>
  </si>
  <si>
    <t>Vital signs and labs</t>
  </si>
  <si>
    <t>Systolic_BP, Diastolic_BP, Cholesterol_Level</t>
  </si>
  <si>
    <t>AE</t>
  </si>
  <si>
    <t>Adverse Events (summary)</t>
  </si>
  <si>
    <t>Adverse_Events</t>
  </si>
  <si>
    <t>DS</t>
  </si>
  <si>
    <t>Disposition</t>
  </si>
  <si>
    <t>Dropout</t>
  </si>
  <si>
    <t>Form</t>
  </si>
  <si>
    <t>Variable</t>
  </si>
  <si>
    <t>Label</t>
  </si>
  <si>
    <t>Type</t>
  </si>
  <si>
    <t>Units</t>
  </si>
  <si>
    <t>Required?</t>
  </si>
  <si>
    <t>Allowed values/range</t>
  </si>
  <si>
    <t>Source Column</t>
  </si>
  <si>
    <t>SUBJID</t>
  </si>
  <si>
    <t>Subject ID</t>
  </si>
  <si>
    <t>Text</t>
  </si>
  <si>
    <t>-</t>
  </si>
  <si>
    <t>Yes</t>
  </si>
  <si>
    <t>Unique</t>
  </si>
  <si>
    <t>Patient_ID</t>
  </si>
  <si>
    <t>SITEID</t>
  </si>
  <si>
    <t>Site ID</t>
  </si>
  <si>
    <t>Integer</t>
  </si>
  <si>
    <t>1-50</t>
  </si>
  <si>
    <t>Site_ID</t>
  </si>
  <si>
    <t>AGE</t>
  </si>
  <si>
    <t>Age</t>
  </si>
  <si>
    <t>years</t>
  </si>
  <si>
    <t>18 - 90</t>
  </si>
  <si>
    <t>SEX</t>
  </si>
  <si>
    <t>Sex</t>
  </si>
  <si>
    <t>Coded</t>
  </si>
  <si>
    <t>Male, Female</t>
  </si>
  <si>
    <t>Gender</t>
  </si>
  <si>
    <t>ENRLDT</t>
  </si>
  <si>
    <t>Enrollment Date</t>
  </si>
  <si>
    <t>Date</t>
  </si>
  <si>
    <t>Valid date, not in future</t>
  </si>
  <si>
    <t>Enrollment_Date</t>
  </si>
  <si>
    <t>TRTGRP</t>
  </si>
  <si>
    <t>Treatment Group</t>
  </si>
  <si>
    <t>Placebo, Drug A (CardioX), Drug B (Active Comparator)</t>
  </si>
  <si>
    <t>SYSBP</t>
  </si>
  <si>
    <t>Systolic BP</t>
  </si>
  <si>
    <t>mmHg</t>
  </si>
  <si>
    <t>70-250</t>
  </si>
  <si>
    <t>Systolic_BP</t>
  </si>
  <si>
    <t>DIABP</t>
  </si>
  <si>
    <t>Diastolic BP</t>
  </si>
  <si>
    <t>40-150</t>
  </si>
  <si>
    <t>Diastolic_BP</t>
  </si>
  <si>
    <t>CHOL</t>
  </si>
  <si>
    <t>Total Cholesterol</t>
  </si>
  <si>
    <t>mg/dL</t>
  </si>
  <si>
    <t>100-400</t>
  </si>
  <si>
    <t>Cholesterol_Level</t>
  </si>
  <si>
    <t>AECOUNT</t>
  </si>
  <si>
    <t>Number of Adverse Events</t>
  </si>
  <si>
    <t>count</t>
  </si>
  <si>
    <t>0 or more</t>
  </si>
  <si>
    <t>DROPOUT</t>
  </si>
  <si>
    <t>Dropped Out</t>
  </si>
  <si>
    <t>0 = No, 1 = Yes</t>
  </si>
  <si>
    <t>Check ID</t>
  </si>
  <si>
    <t>Variable(s)</t>
  </si>
  <si>
    <t>Rule</t>
  </si>
  <si>
    <t>Message to Site</t>
  </si>
  <si>
    <t>Severity</t>
  </si>
  <si>
    <t>EC001</t>
  </si>
  <si>
    <t>Duplicate</t>
  </si>
  <si>
    <t>Subject ID must be unique</t>
  </si>
  <si>
    <t>"Duplicate Subject ID."</t>
  </si>
  <si>
    <t>Hard (invalid or missing)</t>
  </si>
  <si>
    <t>EC002</t>
  </si>
  <si>
    <t>AGE, SEX, ENRLDT</t>
  </si>
  <si>
    <t>Missing</t>
  </si>
  <si>
    <t>Required fields must not be blank</t>
  </si>
  <si>
    <t>"Required field missing."</t>
  </si>
  <si>
    <t>EC003</t>
  </si>
  <si>
    <t>Range</t>
  </si>
  <si>
    <t>Age must be 18 - 90</t>
  </si>
  <si>
    <t>"Age outside of range. Verify."</t>
  </si>
  <si>
    <t>Query (out of range, please verify)</t>
  </si>
  <si>
    <t>EC004</t>
  </si>
  <si>
    <t>Site ID must be 1 - 50</t>
  </si>
  <si>
    <t>"Invalid Site ID."</t>
  </si>
  <si>
    <t>EC005</t>
  </si>
  <si>
    <t>Date Logic</t>
  </si>
  <si>
    <t>Enrollment date cannot be in the future</t>
  </si>
  <si>
    <t>"Enrollment date is in the future."</t>
  </si>
  <si>
    <t>EC006</t>
  </si>
  <si>
    <t>Coded Value</t>
  </si>
  <si>
    <t>Must be one of three allowed groups</t>
  </si>
  <si>
    <t>"Invalid treatment group."</t>
  </si>
  <si>
    <t>EC007</t>
  </si>
  <si>
    <t>Systolic BP 70 - 250</t>
  </si>
  <si>
    <t>"SYSBP outside expected range. Verify."</t>
  </si>
  <si>
    <t>EC008</t>
  </si>
  <si>
    <t>SYSBP, DIABP</t>
  </si>
  <si>
    <t>Consistency</t>
  </si>
  <si>
    <t>Diastolic must be lower than systolic</t>
  </si>
  <si>
    <t>"DIABP is not lower than SYSBP."</t>
  </si>
  <si>
    <t>EC009</t>
  </si>
  <si>
    <t>Cholesterol 100 - 400</t>
  </si>
  <si>
    <t>"Cholesterol outside expected range."</t>
  </si>
  <si>
    <t>EC010</t>
  </si>
  <si>
    <t>Must be a whole number, 0 or more</t>
  </si>
  <si>
    <t>"Invalid AE count."</t>
  </si>
  <si>
    <t>EC011</t>
  </si>
  <si>
    <t>Must be 0 or 1</t>
  </si>
  <si>
    <t>"Dropout must be 0 or 1."</t>
  </si>
  <si>
    <t>Test Data</t>
  </si>
  <si>
    <t>Expected</t>
  </si>
  <si>
    <t>Flagged on Original</t>
  </si>
  <si>
    <t>Flagged on Test Copy</t>
  </si>
  <si>
    <t>Increase</t>
  </si>
  <si>
    <t>Pass/Fail</t>
  </si>
  <si>
    <t>Row 1 has the same Patient_ID as row 2</t>
  </si>
  <si>
    <t>Both Flagged</t>
  </si>
  <si>
    <t>Pass</t>
  </si>
  <si>
    <t>Blank Gender (row 3); blank Age (row 4)</t>
  </si>
  <si>
    <t>Age 7 (row 5); Age 95 (row 6)</t>
  </si>
  <si>
    <t>Site_ID 75 (row 7)</t>
  </si>
  <si>
    <t>Flagged</t>
  </si>
  <si>
    <t>Future date 1/1/31 (row 8); impossible date 2/30/22 (row 9)</t>
  </si>
  <si>
    <t>"Drg A" (row 10); "Placebo " with trailing space (row 11)</t>
  </si>
  <si>
    <t>Systolic BP 300 (row 12)</t>
  </si>
  <si>
    <t>Diastolic 10 above systolic (row 14); diastolic equal to systolic (row 15)</t>
  </si>
  <si>
    <t>Cholesterol 20 (row 16)</t>
  </si>
  <si>
    <t>AE count -2 (row 17); AE count 1.5 (row 18)</t>
  </si>
  <si>
    <t>Dropout 2 (row 19); blank dropout (row 20)</t>
  </si>
  <si>
    <t>Note:</t>
  </si>
  <si>
    <t>Pass means the number of flagged rows increased by exactly the number of errors planted. This confirms each check catches the planted errors and does not flag any other rows. EC001 counts both rows of a duplicate 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</si>
</sst>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u/>
      <sz val="11"/>
      <color theme="10"/>
      <name val="Calibri"/>
      <family val="2"/>
      <scheme val="minor"/>
    </font>
    <font>
      <sz val="11"/>
      <color rgb="FF242424"/>
      <name val="Aptos Narrow"/>
      <charset val="1"/>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xf numFmtId="0" fontId="0" fillId="0" borderId="0" xfId="0" applyAlignment="1">
      <alignment wrapText="1"/>
    </xf>
    <xf numFmtId="0" fontId="0" fillId="0" borderId="0" xfId="0" applyAlignment="1">
      <alignment horizontal="left"/>
    </xf>
    <xf numFmtId="2" fontId="0" fillId="0" borderId="0" xfId="0" applyNumberFormat="1"/>
    <xf numFmtId="0" fontId="0" fillId="2" borderId="0" xfId="0" applyNumberFormat="1" applyFill="1"/>
    <xf numFmtId="0" fontId="0" fillId="2" borderId="0" xfId="0" applyFill="1"/>
    <xf numFmtId="0" fontId="3" fillId="0" borderId="0" xfId="0" applyFont="1"/>
    <xf numFmtId="0" fontId="2" fillId="0" borderId="0" xfId="1"/>
    <xf numFmtId="0" fontId="4" fillId="0" borderId="0" xfId="0" applyFont="1"/>
  </cellXfs>
  <cellStyles count="2">
    <cellStyle name="Hyperlink" xfId="1" builtinId="8"/>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005ADA-320D-4FDB-9366-E93555C1114B}" name="Table1" displayName="Table1" ref="A1:B8" totalsRowShown="0">
  <autoFilter ref="A1:B8" xr:uid="{B7005ADA-320D-4FDB-9366-E93555C1114B}"/>
  <tableColumns count="2">
    <tableColumn id="1" xr3:uid="{3D5FD0DD-083B-4133-9EC4-9178A8E5F4BA}" name="Item"/>
    <tableColumn id="2" xr3:uid="{04FA7944-81EE-4543-BF4B-419C9E035C75}" name="Entry"/>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1E17CF-C3FD-4B62-A8EF-66EF0A13F354}" name="Table2" displayName="Table2" ref="A1:D6" totalsRowShown="0">
  <autoFilter ref="A1:D6" xr:uid="{B31E17CF-C3FD-4B62-A8EF-66EF0A13F354}"/>
  <tableColumns count="4">
    <tableColumn id="1" xr3:uid="{5EAFB62C-6940-4249-84F7-9604C39EECE6}" name="Form ID"/>
    <tableColumn id="2" xr3:uid="{A14C840C-B3F7-4A2E-89A9-88D8756E609C}" name="Form Name"/>
    <tableColumn id="3" xr3:uid="{F987FEBD-4356-411C-8011-58AF731D2182}" name="Fields from Dataset"/>
    <tableColumn id="4" xr3:uid="{388DF221-881E-478B-8F2B-AB5392D83CD9}" name="Repeating?"/>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AAAAED-E91A-45CE-A38C-C081EE6C2BD0}" name="Table3" displayName="Table3" ref="A1:H12" totalsRowShown="0">
  <autoFilter ref="A1:H12" xr:uid="{AAAAAAED-E91A-45CE-A38C-C081EE6C2BD0}"/>
  <tableColumns count="8">
    <tableColumn id="1" xr3:uid="{C77110AB-1F8A-4620-A3A5-A0E975F4C2B3}" name="Form"/>
    <tableColumn id="2" xr3:uid="{0C3824C1-778B-4B5F-B97C-25CA9BF9A24E}" name="Variable"/>
    <tableColumn id="3" xr3:uid="{D3FFD6B8-C401-4527-9F7E-ADCD6D0AAF6E}" name="Label"/>
    <tableColumn id="4" xr3:uid="{072DDBA3-8EAC-485A-AA80-9FDB2D9285BD}" name="Type"/>
    <tableColumn id="5" xr3:uid="{2AD5FAE4-D6D8-457E-8F02-6866E81C2F78}" name="Units"/>
    <tableColumn id="6" xr3:uid="{482469FE-A7E4-4152-A7EE-E73BE4DA0E81}" name="Required?"/>
    <tableColumn id="7" xr3:uid="{A1F41FE9-A188-4ABE-8FC6-B78F575A0399}" name="Allowed values/range"/>
    <tableColumn id="8" xr3:uid="{C08EA517-DCE6-42C9-A9E6-AD770C5AB27B}" name="Source 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8BCEA9-052C-4769-B93C-50DC38DEFCD0}" name="Table4" displayName="Table4" ref="A1:G12" totalsRowShown="0">
  <autoFilter ref="A1:G12" xr:uid="{198BCEA9-052C-4769-B93C-50DC38DEFCD0}"/>
  <tableColumns count="7">
    <tableColumn id="1" xr3:uid="{1F8F0D01-8285-4F41-BE74-DCD2107C4D0A}" name="Check ID"/>
    <tableColumn id="2" xr3:uid="{3E935433-918B-44B0-9ACB-AACFD9ED5CB5}" name="Form"/>
    <tableColumn id="3" xr3:uid="{1512CE39-05BD-4841-854C-63AE40CFD4ED}" name="Variable(s)"/>
    <tableColumn id="4" xr3:uid="{D7D48743-AEAB-4612-AB92-1726E10C99CF}" name="Type"/>
    <tableColumn id="5" xr3:uid="{F60F05BB-8804-46C2-B19F-202853C757D6}" name="Rule"/>
    <tableColumn id="6" xr3:uid="{32C46B61-E194-4904-902D-640FBCB8557E}" name="Message to Site"/>
    <tableColumn id="7" xr3:uid="{5770576D-559A-4660-A76B-CAEED0E41616}" name="Severity"/>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891B6F-95B5-47C9-83D0-BE6771B2BCA9}" name="Table5" displayName="Table5" ref="A1:G12" totalsRowShown="0" headerRowDxfId="0">
  <autoFilter ref="A1:G12" xr:uid="{88891B6F-95B5-47C9-83D0-BE6771B2BCA9}"/>
  <tableColumns count="7">
    <tableColumn id="1" xr3:uid="{3B620FCF-739C-492F-9F6A-B99019D29AAE}" name="Check ID"/>
    <tableColumn id="2" xr3:uid="{59AE0D91-DB7A-4468-8D12-5AB3454F02DA}" name="Test Data"/>
    <tableColumn id="3" xr3:uid="{C5796715-4B51-4A7F-80C7-6A5B05BCA217}" name="Expected"/>
    <tableColumn id="7" xr3:uid="{8695F10D-F7A6-4963-925C-28FF17DA53A8}" name="Flagged on Original"/>
    <tableColumn id="8" xr3:uid="{31E031C9-3C7A-42D7-9B47-E90D3EC09550}" name="Flagged on Test Copy"/>
    <tableColumn id="9" xr3:uid="{FBB461AC-D204-4B2B-B166-A1E177C48F1B}" name="Increase">
      <calculatedColumnFormula>Table5[[#This Row],[Flagged on Test Copy]] - Table5[[#This Row],[Flagged on Original]]</calculatedColumnFormula>
    </tableColumn>
    <tableColumn id="5" xr3:uid="{3FA4CC3D-0301-42B7-94F7-443FA75276A2}" name="Pass/Fai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kaggle.com/datasets/isabelladil/phase-iii-clinical-trial-dataset/dat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B7" sqref="B7"/>
    </sheetView>
  </sheetViews>
  <sheetFormatPr defaultRowHeight="15"/>
  <cols>
    <col min="1" max="1" width="11.7109375" bestFit="1" customWidth="1"/>
    <col min="2" max="2" width="153.28515625" bestFit="1" customWidth="1"/>
  </cols>
  <sheetData>
    <row r="1" spans="1:2">
      <c r="A1" s="1" t="s">
        <v>0</v>
      </c>
      <c r="B1" t="s">
        <v>1</v>
      </c>
    </row>
    <row r="2" spans="1:2">
      <c r="A2" t="s">
        <v>2</v>
      </c>
      <c r="B2" t="s">
        <v>3</v>
      </c>
    </row>
    <row r="3" spans="1:2">
      <c r="A3" t="s">
        <v>4</v>
      </c>
      <c r="B3" s="2" t="s">
        <v>5</v>
      </c>
    </row>
    <row r="4" spans="1:2">
      <c r="A4" t="s">
        <v>6</v>
      </c>
      <c r="B4" s="8" t="s">
        <v>7</v>
      </c>
    </row>
    <row r="5" spans="1:2">
      <c r="A5" t="s">
        <v>8</v>
      </c>
      <c r="B5" s="7" t="s">
        <v>9</v>
      </c>
    </row>
    <row r="6" spans="1:2">
      <c r="A6" t="s">
        <v>10</v>
      </c>
      <c r="B6" t="s">
        <v>11</v>
      </c>
    </row>
    <row r="7" spans="1:2">
      <c r="A7" t="s">
        <v>12</v>
      </c>
      <c r="B7" s="3">
        <v>1000</v>
      </c>
    </row>
    <row r="8" spans="1:2">
      <c r="A8" t="s">
        <v>13</v>
      </c>
      <c r="B8" t="s">
        <v>14</v>
      </c>
    </row>
  </sheetData>
  <hyperlinks>
    <hyperlink ref="B4" r:id="rId1" xr:uid="{974F70FC-003B-40AE-9F1A-C9EC3B994EFD}"/>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58C6C-3EEB-4138-BF44-D41E0AFFF1E6}">
  <dimension ref="A1:D6"/>
  <sheetViews>
    <sheetView workbookViewId="0">
      <selection activeCell="C12" sqref="C12"/>
    </sheetView>
  </sheetViews>
  <sheetFormatPr defaultRowHeight="15"/>
  <cols>
    <col min="1" max="1" width="10.42578125" bestFit="1" customWidth="1"/>
    <col min="2" max="2" width="27.5703125" bestFit="1" customWidth="1"/>
    <col min="3" max="3" width="46.5703125" bestFit="1" customWidth="1"/>
    <col min="4" max="4" width="13.42578125" bestFit="1" customWidth="1"/>
  </cols>
  <sheetData>
    <row r="1" spans="1:4">
      <c r="A1" t="s">
        <v>15</v>
      </c>
      <c r="B1" t="s">
        <v>16</v>
      </c>
      <c r="C1" t="s">
        <v>17</v>
      </c>
      <c r="D1" t="s">
        <v>18</v>
      </c>
    </row>
    <row r="2" spans="1:4">
      <c r="A2" t="s">
        <v>19</v>
      </c>
      <c r="B2" t="s">
        <v>20</v>
      </c>
      <c r="C2" t="s">
        <v>21</v>
      </c>
      <c r="D2" t="s">
        <v>22</v>
      </c>
    </row>
    <row r="3" spans="1:4">
      <c r="A3" t="s">
        <v>23</v>
      </c>
      <c r="B3" t="s">
        <v>24</v>
      </c>
      <c r="C3" t="s">
        <v>25</v>
      </c>
      <c r="D3" t="s">
        <v>22</v>
      </c>
    </row>
    <row r="4" spans="1:4">
      <c r="A4" t="s">
        <v>26</v>
      </c>
      <c r="B4" t="s">
        <v>27</v>
      </c>
      <c r="C4" t="s">
        <v>28</v>
      </c>
      <c r="D4" t="s">
        <v>22</v>
      </c>
    </row>
    <row r="5" spans="1:4">
      <c r="A5" t="s">
        <v>29</v>
      </c>
      <c r="B5" t="s">
        <v>30</v>
      </c>
      <c r="C5" t="s">
        <v>31</v>
      </c>
      <c r="D5" t="s">
        <v>22</v>
      </c>
    </row>
    <row r="6" spans="1:4">
      <c r="A6" t="s">
        <v>32</v>
      </c>
      <c r="B6" t="s">
        <v>33</v>
      </c>
      <c r="C6" t="s">
        <v>34</v>
      </c>
      <c r="D6"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0DC9-F98B-44BA-80E8-FCD85A3050E9}">
  <dimension ref="A1:H12"/>
  <sheetViews>
    <sheetView workbookViewId="0">
      <selection activeCell="F19" sqref="F19"/>
    </sheetView>
  </sheetViews>
  <sheetFormatPr defaultRowHeight="15"/>
  <cols>
    <col min="2" max="2" width="10.85546875" bestFit="1" customWidth="1"/>
    <col min="3" max="3" width="24.5703125" bestFit="1" customWidth="1"/>
    <col min="6" max="7" width="49.85546875" bestFit="1" customWidth="1"/>
    <col min="8" max="8" width="17" bestFit="1" customWidth="1"/>
  </cols>
  <sheetData>
    <row r="1" spans="1:8">
      <c r="A1" t="s">
        <v>35</v>
      </c>
      <c r="B1" t="s">
        <v>36</v>
      </c>
      <c r="C1" t="s">
        <v>37</v>
      </c>
      <c r="D1" t="s">
        <v>38</v>
      </c>
      <c r="E1" t="s">
        <v>39</v>
      </c>
      <c r="F1" t="s">
        <v>40</v>
      </c>
      <c r="G1" t="s">
        <v>41</v>
      </c>
      <c r="H1" t="s">
        <v>42</v>
      </c>
    </row>
    <row r="2" spans="1:8">
      <c r="A2" t="s">
        <v>19</v>
      </c>
      <c r="B2" t="s">
        <v>43</v>
      </c>
      <c r="C2" t="s">
        <v>44</v>
      </c>
      <c r="D2" t="s">
        <v>45</v>
      </c>
      <c r="E2" t="s">
        <v>46</v>
      </c>
      <c r="F2" t="s">
        <v>47</v>
      </c>
      <c r="G2" t="s">
        <v>48</v>
      </c>
      <c r="H2" t="s">
        <v>49</v>
      </c>
    </row>
    <row r="3" spans="1:8">
      <c r="A3" t="s">
        <v>19</v>
      </c>
      <c r="B3" t="s">
        <v>50</v>
      </c>
      <c r="C3" t="s">
        <v>51</v>
      </c>
      <c r="D3" t="s">
        <v>52</v>
      </c>
      <c r="E3" t="s">
        <v>46</v>
      </c>
      <c r="F3" t="s">
        <v>47</v>
      </c>
      <c r="G3" s="4" t="s">
        <v>53</v>
      </c>
      <c r="H3" t="s">
        <v>54</v>
      </c>
    </row>
    <row r="4" spans="1:8">
      <c r="A4" t="s">
        <v>19</v>
      </c>
      <c r="B4" t="s">
        <v>55</v>
      </c>
      <c r="C4" t="s">
        <v>56</v>
      </c>
      <c r="D4" t="s">
        <v>52</v>
      </c>
      <c r="E4" t="s">
        <v>57</v>
      </c>
      <c r="F4" t="s">
        <v>47</v>
      </c>
      <c r="G4" s="5" t="s">
        <v>58</v>
      </c>
      <c r="H4" t="s">
        <v>56</v>
      </c>
    </row>
    <row r="5" spans="1:8">
      <c r="A5" t="s">
        <v>19</v>
      </c>
      <c r="B5" t="s">
        <v>59</v>
      </c>
      <c r="C5" t="s">
        <v>60</v>
      </c>
      <c r="D5" t="s">
        <v>61</v>
      </c>
      <c r="E5" t="s">
        <v>46</v>
      </c>
      <c r="F5" t="s">
        <v>47</v>
      </c>
      <c r="G5" t="s">
        <v>62</v>
      </c>
      <c r="H5" t="s">
        <v>63</v>
      </c>
    </row>
    <row r="6" spans="1:8">
      <c r="A6" t="s">
        <v>19</v>
      </c>
      <c r="B6" t="s">
        <v>64</v>
      </c>
      <c r="C6" t="s">
        <v>65</v>
      </c>
      <c r="D6" t="s">
        <v>66</v>
      </c>
      <c r="E6" t="s">
        <v>46</v>
      </c>
      <c r="F6" t="s">
        <v>47</v>
      </c>
      <c r="G6" s="6" t="s">
        <v>67</v>
      </c>
      <c r="H6" t="s">
        <v>68</v>
      </c>
    </row>
    <row r="7" spans="1:8">
      <c r="A7" t="s">
        <v>23</v>
      </c>
      <c r="B7" t="s">
        <v>69</v>
      </c>
      <c r="C7" t="s">
        <v>70</v>
      </c>
      <c r="D7" t="s">
        <v>61</v>
      </c>
      <c r="E7" t="s">
        <v>46</v>
      </c>
      <c r="F7" t="s">
        <v>47</v>
      </c>
      <c r="G7" t="s">
        <v>71</v>
      </c>
      <c r="H7" t="s">
        <v>25</v>
      </c>
    </row>
    <row r="8" spans="1:8">
      <c r="A8" t="s">
        <v>26</v>
      </c>
      <c r="B8" t="s">
        <v>72</v>
      </c>
      <c r="C8" t="s">
        <v>73</v>
      </c>
      <c r="D8" t="s">
        <v>52</v>
      </c>
      <c r="E8" t="s">
        <v>74</v>
      </c>
      <c r="F8" t="s">
        <v>47</v>
      </c>
      <c r="G8" s="6" t="s">
        <v>75</v>
      </c>
      <c r="H8" t="s">
        <v>76</v>
      </c>
    </row>
    <row r="9" spans="1:8">
      <c r="A9" t="s">
        <v>26</v>
      </c>
      <c r="B9" t="s">
        <v>77</v>
      </c>
      <c r="C9" t="s">
        <v>78</v>
      </c>
      <c r="D9" t="s">
        <v>52</v>
      </c>
      <c r="E9" t="s">
        <v>74</v>
      </c>
      <c r="F9" t="s">
        <v>47</v>
      </c>
      <c r="G9" s="6" t="s">
        <v>79</v>
      </c>
      <c r="H9" t="s">
        <v>80</v>
      </c>
    </row>
    <row r="10" spans="1:8">
      <c r="A10" t="s">
        <v>26</v>
      </c>
      <c r="B10" t="s">
        <v>81</v>
      </c>
      <c r="C10" t="s">
        <v>82</v>
      </c>
      <c r="D10" t="s">
        <v>52</v>
      </c>
      <c r="E10" t="s">
        <v>83</v>
      </c>
      <c r="F10" t="s">
        <v>47</v>
      </c>
      <c r="G10" s="6" t="s">
        <v>84</v>
      </c>
      <c r="H10" t="s">
        <v>85</v>
      </c>
    </row>
    <row r="11" spans="1:8">
      <c r="A11" t="s">
        <v>29</v>
      </c>
      <c r="B11" t="s">
        <v>86</v>
      </c>
      <c r="C11" t="s">
        <v>87</v>
      </c>
      <c r="D11" t="s">
        <v>52</v>
      </c>
      <c r="E11" t="s">
        <v>88</v>
      </c>
      <c r="F11" t="s">
        <v>47</v>
      </c>
      <c r="G11" t="s">
        <v>89</v>
      </c>
      <c r="H11" t="s">
        <v>31</v>
      </c>
    </row>
    <row r="12" spans="1:8">
      <c r="A12" t="s">
        <v>32</v>
      </c>
      <c r="B12" t="s">
        <v>90</v>
      </c>
      <c r="C12" t="s">
        <v>91</v>
      </c>
      <c r="D12" t="s">
        <v>61</v>
      </c>
      <c r="E12" t="s">
        <v>46</v>
      </c>
      <c r="F12" t="s">
        <v>47</v>
      </c>
      <c r="G12" t="s">
        <v>92</v>
      </c>
      <c r="H12" t="s">
        <v>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17F1-82CC-4185-AB7F-54C26A2D016B}">
  <dimension ref="A1:G12"/>
  <sheetViews>
    <sheetView workbookViewId="0">
      <selection activeCell="F22" sqref="F22"/>
    </sheetView>
  </sheetViews>
  <sheetFormatPr defaultRowHeight="15"/>
  <cols>
    <col min="1" max="1" width="11.5703125" bestFit="1" customWidth="1"/>
    <col min="3" max="3" width="17" bestFit="1" customWidth="1"/>
    <col min="4" max="4" width="12.140625" bestFit="1" customWidth="1"/>
    <col min="5" max="5" width="37.28515625" bestFit="1" customWidth="1"/>
    <col min="6" max="6" width="36.140625" bestFit="1" customWidth="1"/>
    <col min="7" max="7" width="31.7109375" bestFit="1" customWidth="1"/>
  </cols>
  <sheetData>
    <row r="1" spans="1:7">
      <c r="A1" t="s">
        <v>93</v>
      </c>
      <c r="B1" t="s">
        <v>35</v>
      </c>
      <c r="C1" t="s">
        <v>94</v>
      </c>
      <c r="D1" t="s">
        <v>38</v>
      </c>
      <c r="E1" t="s">
        <v>95</v>
      </c>
      <c r="F1" t="s">
        <v>96</v>
      </c>
      <c r="G1" t="s">
        <v>97</v>
      </c>
    </row>
    <row r="2" spans="1:7">
      <c r="A2" t="s">
        <v>98</v>
      </c>
      <c r="B2" t="s">
        <v>19</v>
      </c>
      <c r="C2" t="s">
        <v>43</v>
      </c>
      <c r="D2" t="s">
        <v>99</v>
      </c>
      <c r="E2" t="s">
        <v>100</v>
      </c>
      <c r="F2" t="s">
        <v>101</v>
      </c>
      <c r="G2" t="s">
        <v>102</v>
      </c>
    </row>
    <row r="3" spans="1:7">
      <c r="A3" t="s">
        <v>103</v>
      </c>
      <c r="B3" t="s">
        <v>19</v>
      </c>
      <c r="C3" t="s">
        <v>104</v>
      </c>
      <c r="D3" t="s">
        <v>105</v>
      </c>
      <c r="E3" t="s">
        <v>106</v>
      </c>
      <c r="F3" t="s">
        <v>107</v>
      </c>
      <c r="G3" t="s">
        <v>102</v>
      </c>
    </row>
    <row r="4" spans="1:7">
      <c r="A4" t="s">
        <v>108</v>
      </c>
      <c r="B4" t="s">
        <v>19</v>
      </c>
      <c r="C4" t="s">
        <v>55</v>
      </c>
      <c r="D4" t="s">
        <v>109</v>
      </c>
      <c r="E4" s="6" t="s">
        <v>110</v>
      </c>
      <c r="F4" t="s">
        <v>111</v>
      </c>
      <c r="G4" t="s">
        <v>112</v>
      </c>
    </row>
    <row r="5" spans="1:7">
      <c r="A5" t="s">
        <v>113</v>
      </c>
      <c r="B5" t="s">
        <v>19</v>
      </c>
      <c r="C5" t="s">
        <v>50</v>
      </c>
      <c r="D5" t="s">
        <v>109</v>
      </c>
      <c r="E5" t="s">
        <v>114</v>
      </c>
      <c r="F5" t="s">
        <v>115</v>
      </c>
      <c r="G5" t="s">
        <v>102</v>
      </c>
    </row>
    <row r="6" spans="1:7">
      <c r="A6" t="s">
        <v>116</v>
      </c>
      <c r="B6" t="s">
        <v>19</v>
      </c>
      <c r="C6" t="s">
        <v>64</v>
      </c>
      <c r="D6" t="s">
        <v>117</v>
      </c>
      <c r="E6" t="s">
        <v>118</v>
      </c>
      <c r="F6" t="s">
        <v>119</v>
      </c>
      <c r="G6" t="s">
        <v>112</v>
      </c>
    </row>
    <row r="7" spans="1:7">
      <c r="A7" t="s">
        <v>120</v>
      </c>
      <c r="B7" t="s">
        <v>23</v>
      </c>
      <c r="C7" t="s">
        <v>69</v>
      </c>
      <c r="D7" t="s">
        <v>121</v>
      </c>
      <c r="E7" t="s">
        <v>122</v>
      </c>
      <c r="F7" t="s">
        <v>123</v>
      </c>
      <c r="G7" t="s">
        <v>102</v>
      </c>
    </row>
    <row r="8" spans="1:7">
      <c r="A8" t="s">
        <v>124</v>
      </c>
      <c r="B8" t="s">
        <v>26</v>
      </c>
      <c r="C8" t="s">
        <v>72</v>
      </c>
      <c r="D8" t="s">
        <v>109</v>
      </c>
      <c r="E8" t="s">
        <v>125</v>
      </c>
      <c r="F8" t="s">
        <v>126</v>
      </c>
      <c r="G8" t="s">
        <v>112</v>
      </c>
    </row>
    <row r="9" spans="1:7">
      <c r="A9" t="s">
        <v>127</v>
      </c>
      <c r="B9" t="s">
        <v>26</v>
      </c>
      <c r="C9" t="s">
        <v>128</v>
      </c>
      <c r="D9" t="s">
        <v>129</v>
      </c>
      <c r="E9" t="s">
        <v>130</v>
      </c>
      <c r="F9" t="s">
        <v>131</v>
      </c>
      <c r="G9" t="s">
        <v>112</v>
      </c>
    </row>
    <row r="10" spans="1:7">
      <c r="A10" t="s">
        <v>132</v>
      </c>
      <c r="B10" t="s">
        <v>26</v>
      </c>
      <c r="C10" t="s">
        <v>81</v>
      </c>
      <c r="D10" t="s">
        <v>109</v>
      </c>
      <c r="E10" t="s">
        <v>133</v>
      </c>
      <c r="F10" t="s">
        <v>134</v>
      </c>
      <c r="G10" t="s">
        <v>112</v>
      </c>
    </row>
    <row r="11" spans="1:7">
      <c r="A11" t="s">
        <v>135</v>
      </c>
      <c r="B11" t="s">
        <v>29</v>
      </c>
      <c r="C11" t="s">
        <v>86</v>
      </c>
      <c r="D11" t="s">
        <v>109</v>
      </c>
      <c r="E11" t="s">
        <v>136</v>
      </c>
      <c r="F11" t="s">
        <v>137</v>
      </c>
      <c r="G11" t="s">
        <v>112</v>
      </c>
    </row>
    <row r="12" spans="1:7">
      <c r="A12" t="s">
        <v>138</v>
      </c>
      <c r="B12" t="s">
        <v>32</v>
      </c>
      <c r="C12" t="s">
        <v>90</v>
      </c>
      <c r="D12" t="s">
        <v>121</v>
      </c>
      <c r="E12" t="s">
        <v>139</v>
      </c>
      <c r="F12" t="s">
        <v>140</v>
      </c>
      <c r="G12" t="s">
        <v>102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1AC2D-E043-4562-ABAF-5BD9A873683C}">
  <dimension ref="A1:G15"/>
  <sheetViews>
    <sheetView workbookViewId="0">
      <selection activeCell="B19" sqref="B19"/>
    </sheetView>
  </sheetViews>
  <sheetFormatPr defaultRowHeight="15"/>
  <cols>
    <col min="1" max="1" width="11.140625" bestFit="1" customWidth="1"/>
    <col min="2" max="2" width="64.28515625" bestFit="1" customWidth="1"/>
    <col min="3" max="3" width="12.42578125" bestFit="1" customWidth="1"/>
    <col min="4" max="4" width="20.85546875" bestFit="1" customWidth="1"/>
    <col min="5" max="5" width="22.42578125" bestFit="1" customWidth="1"/>
  </cols>
  <sheetData>
    <row r="1" spans="1:7">
      <c r="A1" s="1" t="s">
        <v>93</v>
      </c>
      <c r="B1" s="1" t="s">
        <v>141</v>
      </c>
      <c r="C1" s="1" t="s">
        <v>142</v>
      </c>
      <c r="D1" s="1" t="s">
        <v>143</v>
      </c>
      <c r="E1" s="1" t="s">
        <v>144</v>
      </c>
      <c r="F1" s="1" t="s">
        <v>145</v>
      </c>
      <c r="G1" s="1" t="s">
        <v>146</v>
      </c>
    </row>
    <row r="2" spans="1:7">
      <c r="A2" t="s">
        <v>98</v>
      </c>
      <c r="B2" t="s">
        <v>147</v>
      </c>
      <c r="C2" t="s">
        <v>148</v>
      </c>
      <c r="D2">
        <v>0</v>
      </c>
      <c r="E2">
        <v>2</v>
      </c>
      <c r="F2">
        <f>Table5[[#This Row],[Flagged on Test Copy]] - Table5[[#This Row],[Flagged on Original]]</f>
        <v>2</v>
      </c>
      <c r="G2" t="s">
        <v>149</v>
      </c>
    </row>
    <row r="3" spans="1:7">
      <c r="A3" t="s">
        <v>103</v>
      </c>
      <c r="B3" t="s">
        <v>150</v>
      </c>
      <c r="C3" t="s">
        <v>148</v>
      </c>
      <c r="D3">
        <v>0</v>
      </c>
      <c r="E3">
        <v>2</v>
      </c>
      <c r="F3">
        <f>Table5[[#This Row],[Flagged on Test Copy]] - Table5[[#This Row],[Flagged on Original]]</f>
        <v>2</v>
      </c>
      <c r="G3" t="s">
        <v>149</v>
      </c>
    </row>
    <row r="4" spans="1:7">
      <c r="A4" t="s">
        <v>108</v>
      </c>
      <c r="B4" t="s">
        <v>151</v>
      </c>
      <c r="C4" t="s">
        <v>148</v>
      </c>
      <c r="D4">
        <v>16</v>
      </c>
      <c r="E4">
        <v>18</v>
      </c>
      <c r="F4">
        <f>Table5[[#This Row],[Flagged on Test Copy]] - Table5[[#This Row],[Flagged on Original]]</f>
        <v>2</v>
      </c>
      <c r="G4" t="s">
        <v>149</v>
      </c>
    </row>
    <row r="5" spans="1:7">
      <c r="A5" t="s">
        <v>113</v>
      </c>
      <c r="B5" t="s">
        <v>152</v>
      </c>
      <c r="C5" t="s">
        <v>153</v>
      </c>
      <c r="D5">
        <v>0</v>
      </c>
      <c r="E5">
        <v>1</v>
      </c>
      <c r="F5">
        <f>Table5[[#This Row],[Flagged on Test Copy]] - Table5[[#This Row],[Flagged on Original]]</f>
        <v>1</v>
      </c>
      <c r="G5" t="s">
        <v>149</v>
      </c>
    </row>
    <row r="6" spans="1:7">
      <c r="A6" t="s">
        <v>116</v>
      </c>
      <c r="B6" t="s">
        <v>154</v>
      </c>
      <c r="C6" t="s">
        <v>148</v>
      </c>
      <c r="D6">
        <v>0</v>
      </c>
      <c r="E6">
        <v>2</v>
      </c>
      <c r="F6">
        <f>Table5[[#This Row],[Flagged on Test Copy]] - Table5[[#This Row],[Flagged on Original]]</f>
        <v>2</v>
      </c>
      <c r="G6" t="s">
        <v>149</v>
      </c>
    </row>
    <row r="7" spans="1:7">
      <c r="A7" t="s">
        <v>120</v>
      </c>
      <c r="B7" t="s">
        <v>155</v>
      </c>
      <c r="C7" t="s">
        <v>148</v>
      </c>
      <c r="D7">
        <v>0</v>
      </c>
      <c r="E7">
        <v>2</v>
      </c>
      <c r="F7">
        <f>Table5[[#This Row],[Flagged on Test Copy]] - Table5[[#This Row],[Flagged on Original]]</f>
        <v>2</v>
      </c>
      <c r="G7" t="s">
        <v>149</v>
      </c>
    </row>
    <row r="8" spans="1:7">
      <c r="A8" t="s">
        <v>124</v>
      </c>
      <c r="B8" t="s">
        <v>156</v>
      </c>
      <c r="C8" t="s">
        <v>153</v>
      </c>
      <c r="D8">
        <v>0</v>
      </c>
      <c r="E8">
        <v>1</v>
      </c>
      <c r="F8">
        <f>Table5[[#This Row],[Flagged on Test Copy]] - Table5[[#This Row],[Flagged on Original]]</f>
        <v>1</v>
      </c>
      <c r="G8" t="s">
        <v>149</v>
      </c>
    </row>
    <row r="9" spans="1:7">
      <c r="A9" t="s">
        <v>127</v>
      </c>
      <c r="B9" t="s">
        <v>157</v>
      </c>
      <c r="C9" t="s">
        <v>148</v>
      </c>
      <c r="D9">
        <v>14</v>
      </c>
      <c r="E9">
        <v>16</v>
      </c>
      <c r="F9">
        <f>Table5[[#This Row],[Flagged on Test Copy]] - Table5[[#This Row],[Flagged on Original]]</f>
        <v>2</v>
      </c>
      <c r="G9" t="s">
        <v>149</v>
      </c>
    </row>
    <row r="10" spans="1:7">
      <c r="A10" t="s">
        <v>132</v>
      </c>
      <c r="B10" t="s">
        <v>158</v>
      </c>
      <c r="C10" t="s">
        <v>153</v>
      </c>
      <c r="D10">
        <v>1</v>
      </c>
      <c r="E10">
        <v>2</v>
      </c>
      <c r="F10">
        <f>Table5[[#This Row],[Flagged on Test Copy]] - Table5[[#This Row],[Flagged on Original]]</f>
        <v>1</v>
      </c>
      <c r="G10" t="s">
        <v>149</v>
      </c>
    </row>
    <row r="11" spans="1:7">
      <c r="A11" t="s">
        <v>135</v>
      </c>
      <c r="B11" t="s">
        <v>159</v>
      </c>
      <c r="C11" t="s">
        <v>148</v>
      </c>
      <c r="D11">
        <v>0</v>
      </c>
      <c r="E11">
        <v>2</v>
      </c>
      <c r="F11">
        <f>Table5[[#This Row],[Flagged on Test Copy]] - Table5[[#This Row],[Flagged on Original]]</f>
        <v>2</v>
      </c>
      <c r="G11" t="s">
        <v>149</v>
      </c>
    </row>
    <row r="12" spans="1:7">
      <c r="A12" t="s">
        <v>138</v>
      </c>
      <c r="B12" t="s">
        <v>160</v>
      </c>
      <c r="C12" t="s">
        <v>148</v>
      </c>
      <c r="D12">
        <v>0</v>
      </c>
      <c r="E12">
        <v>2</v>
      </c>
      <c r="F12">
        <f>Table5[[#This Row],[Flagged on Test Copy]] - Table5[[#This Row],[Flagged on Original]]</f>
        <v>2</v>
      </c>
      <c r="G12" t="s">
        <v>149</v>
      </c>
    </row>
    <row r="15" spans="1:7">
      <c r="A15" t="s">
        <v>161</v>
      </c>
      <c r="B15" s="9" t="s">
        <v>162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2026-10-07T15:58:05Z</dcterms:created>
  <dcterms:modified xsi:type="dcterms:W3CDTF">2026-10-14T20:13:07Z</dcterms:modified>
  <cp:category/>
  <cp:contentStatus/>
</cp:coreProperties>
</file>